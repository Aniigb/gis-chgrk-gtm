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ры" sheetId="1" state="visible" r:id="rId1"/>
    <sheet xmlns:r="http://schemas.openxmlformats.org/officeDocument/2006/relationships" name="Марки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1"/>
    </font>
    <font>
      <color rgb="00595959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30" customWidth="1" min="5" max="5"/>
  </cols>
  <sheetData>
    <row r="1">
      <c r="A1" s="1" t="inlineStr">
        <is>
          <t>Журнал геодезических наблюдений за осадкой · 2101 · Корпус крупного дробления (ККД) · ООО "Черногорская ГРК"</t>
        </is>
      </c>
    </row>
    <row r="2">
      <c r="A2" s="2" t="inlineStr">
        <is>
          <t>Дата замера</t>
        </is>
      </c>
      <c r="B2" s="2" t="inlineStr">
        <is>
          <t>Марка</t>
        </is>
      </c>
      <c r="C2" s="2" t="inlineStr">
        <is>
          <t>Отметка, м</t>
        </is>
      </c>
      <c r="D2" s="2" t="inlineStr">
        <is>
          <t>Осадка, мм</t>
        </is>
      </c>
      <c r="E2" s="2" t="inlineStr">
        <is>
          <t>Примечание</t>
        </is>
      </c>
    </row>
    <row r="3">
      <c r="A3" s="3" t="n"/>
      <c r="B3" s="4" t="n"/>
      <c r="C3" s="5" t="n"/>
      <c r="D3" s="6">
        <f>IF(OR($B3="",$C3=""),"",IFERROR(ROUND(($C3-VLOOKUP($B3,Марки!$A:$B,2,FALSE))*1000,1),""))</f>
        <v/>
      </c>
      <c r="E3" s="4" t="n"/>
    </row>
    <row r="4">
      <c r="A4" s="3" t="n"/>
      <c r="B4" s="4" t="n"/>
      <c r="C4" s="5" t="n"/>
      <c r="D4" s="6">
        <f>IF(OR($B4="",$C4=""),"",IFERROR(ROUND(($C4-VLOOKUP($B4,Марки!$A:$B,2,FALSE))*1000,1),""))</f>
        <v/>
      </c>
      <c r="E4" s="4" t="n"/>
    </row>
    <row r="5">
      <c r="A5" s="3" t="n"/>
      <c r="B5" s="4" t="n"/>
      <c r="C5" s="5" t="n"/>
      <c r="D5" s="6">
        <f>IF(OR($B5="",$C5=""),"",IFERROR(ROUND(($C5-VLOOKUP($B5,Марки!$A:$B,2,FALSE))*1000,1),""))</f>
        <v/>
      </c>
      <c r="E5" s="4" t="n"/>
    </row>
    <row r="6">
      <c r="A6" s="3" t="n"/>
      <c r="B6" s="4" t="n"/>
      <c r="C6" s="5" t="n"/>
      <c r="D6" s="6">
        <f>IF(OR($B6="",$C6=""),"",IFERROR(ROUND(($C6-VLOOKUP($B6,Марки!$A:$B,2,FALSE))*1000,1),""))</f>
        <v/>
      </c>
      <c r="E6" s="4" t="n"/>
    </row>
    <row r="7">
      <c r="A7" s="3" t="n"/>
      <c r="B7" s="4" t="n"/>
      <c r="C7" s="5" t="n"/>
      <c r="D7" s="6">
        <f>IF(OR($B7="",$C7=""),"",IFERROR(ROUND(($C7-VLOOKUP($B7,Марки!$A:$B,2,FALSE))*1000,1),""))</f>
        <v/>
      </c>
      <c r="E7" s="4" t="n"/>
    </row>
    <row r="8">
      <c r="A8" s="3" t="n"/>
      <c r="B8" s="4" t="n"/>
      <c r="C8" s="5" t="n"/>
      <c r="D8" s="6">
        <f>IF(OR($B8="",$C8=""),"",IFERROR(ROUND(($C8-VLOOKUP($B8,Марки!$A:$B,2,FALSE))*1000,1),""))</f>
        <v/>
      </c>
      <c r="E8" s="4" t="n"/>
    </row>
    <row r="9">
      <c r="A9" s="3" t="n"/>
      <c r="B9" s="4" t="n"/>
      <c r="C9" s="5" t="n"/>
      <c r="D9" s="6">
        <f>IF(OR($B9="",$C9=""),"",IFERROR(ROUND(($C9-VLOOKUP($B9,Марки!$A:$B,2,FALSE))*1000,1),""))</f>
        <v/>
      </c>
      <c r="E9" s="4" t="n"/>
    </row>
    <row r="10">
      <c r="A10" s="3" t="n"/>
      <c r="B10" s="4" t="n"/>
      <c r="C10" s="5" t="n"/>
      <c r="D10" s="6">
        <f>IF(OR($B10="",$C10=""),"",IFERROR(ROUND(($C10-VLOOKUP($B10,Марки!$A:$B,2,FALSE))*1000,1),""))</f>
        <v/>
      </c>
      <c r="E10" s="4" t="n"/>
    </row>
    <row r="11">
      <c r="A11" s="3" t="n"/>
      <c r="B11" s="4" t="n"/>
      <c r="C11" s="5" t="n"/>
      <c r="D11" s="6">
        <f>IF(OR($B11="",$C11=""),"",IFERROR(ROUND(($C11-VLOOKUP($B11,Марки!$A:$B,2,FALSE))*1000,1),""))</f>
        <v/>
      </c>
      <c r="E11" s="4" t="n"/>
    </row>
    <row r="12">
      <c r="A12" s="3" t="n"/>
      <c r="B12" s="4" t="n"/>
      <c r="C12" s="5" t="n"/>
      <c r="D12" s="6">
        <f>IF(OR($B12="",$C12=""),"",IFERROR(ROUND(($C12-VLOOKUP($B12,Марки!$A:$B,2,FALSE))*1000,1),""))</f>
        <v/>
      </c>
      <c r="E12" s="4" t="n"/>
    </row>
    <row r="13">
      <c r="A13" s="3" t="n"/>
      <c r="B13" s="4" t="n"/>
      <c r="C13" s="5" t="n"/>
      <c r="D13" s="6">
        <f>IF(OR($B13="",$C13=""),"",IFERROR(ROUND(($C13-VLOOKUP($B13,Марки!$A:$B,2,FALSE))*1000,1),""))</f>
        <v/>
      </c>
      <c r="E13" s="4" t="n"/>
    </row>
    <row r="14">
      <c r="A14" s="3" t="n"/>
      <c r="B14" s="4" t="n"/>
      <c r="C14" s="5" t="n"/>
      <c r="D14" s="6">
        <f>IF(OR($B14="",$C14=""),"",IFERROR(ROUND(($C14-VLOOKUP($B14,Марки!$A:$B,2,FALSE))*1000,1),""))</f>
        <v/>
      </c>
      <c r="E14" s="4" t="n"/>
    </row>
    <row r="15">
      <c r="A15" s="3" t="n"/>
      <c r="B15" s="4" t="n"/>
      <c r="C15" s="5" t="n"/>
      <c r="D15" s="6">
        <f>IF(OR($B15="",$C15=""),"",IFERROR(ROUND(($C15-VLOOKUP($B15,Марки!$A:$B,2,FALSE))*1000,1),""))</f>
        <v/>
      </c>
      <c r="E15" s="4" t="n"/>
    </row>
    <row r="16">
      <c r="A16" s="3" t="n"/>
      <c r="B16" s="4" t="n"/>
      <c r="C16" s="5" t="n"/>
      <c r="D16" s="6">
        <f>IF(OR($B16="",$C16=""),"",IFERROR(ROUND(($C16-VLOOKUP($B16,Марки!$A:$B,2,FALSE))*1000,1),""))</f>
        <v/>
      </c>
      <c r="E16" s="4" t="n"/>
    </row>
    <row r="17">
      <c r="A17" s="3" t="n"/>
      <c r="B17" s="4" t="n"/>
      <c r="C17" s="5" t="n"/>
      <c r="D17" s="6">
        <f>IF(OR($B17="",$C17=""),"",IFERROR(ROUND(($C17-VLOOKUP($B17,Марки!$A:$B,2,FALSE))*1000,1),""))</f>
        <v/>
      </c>
      <c r="E17" s="4" t="n"/>
    </row>
    <row r="18">
      <c r="A18" s="3" t="n"/>
      <c r="B18" s="4" t="n"/>
      <c r="C18" s="5" t="n"/>
      <c r="D18" s="6">
        <f>IF(OR($B18="",$C18=""),"",IFERROR(ROUND(($C18-VLOOKUP($B18,Марки!$A:$B,2,FALSE))*1000,1),""))</f>
        <v/>
      </c>
      <c r="E18" s="4" t="n"/>
    </row>
    <row r="19">
      <c r="A19" s="3" t="n"/>
      <c r="B19" s="4" t="n"/>
      <c r="C19" s="5" t="n"/>
      <c r="D19" s="6">
        <f>IF(OR($B19="",$C19=""),"",IFERROR(ROUND(($C19-VLOOKUP($B19,Марки!$A:$B,2,FALSE))*1000,1),""))</f>
        <v/>
      </c>
      <c r="E19" s="4" t="n"/>
    </row>
    <row r="20">
      <c r="A20" s="3" t="n"/>
      <c r="B20" s="4" t="n"/>
      <c r="C20" s="5" t="n"/>
      <c r="D20" s="6">
        <f>IF(OR($B20="",$C20=""),"",IFERROR(ROUND(($C20-VLOOKUP($B20,Марки!$A:$B,2,FALSE))*1000,1),""))</f>
        <v/>
      </c>
      <c r="E20" s="4" t="n"/>
    </row>
    <row r="21">
      <c r="A21" s="3" t="n"/>
      <c r="B21" s="4" t="n"/>
      <c r="C21" s="5" t="n"/>
      <c r="D21" s="6">
        <f>IF(OR($B21="",$C21=""),"",IFERROR(ROUND(($C21-VLOOKUP($B21,Марки!$A:$B,2,FALSE))*1000,1),""))</f>
        <v/>
      </c>
      <c r="E21" s="4" t="n"/>
    </row>
    <row r="22">
      <c r="A22" s="3" t="n"/>
      <c r="B22" s="4" t="n"/>
      <c r="C22" s="5" t="n"/>
      <c r="D22" s="6">
        <f>IF(OR($B22="",$C22=""),"",IFERROR(ROUND(($C22-VLOOKUP($B22,Марки!$A:$B,2,FALSE))*1000,1),""))</f>
        <v/>
      </c>
      <c r="E22" s="4" t="n"/>
    </row>
    <row r="23">
      <c r="A23" s="3" t="n"/>
      <c r="B23" s="4" t="n"/>
      <c r="C23" s="5" t="n"/>
      <c r="D23" s="6">
        <f>IF(OR($B23="",$C23=""),"",IFERROR(ROUND(($C23-VLOOKUP($B23,Марки!$A:$B,2,FALSE))*1000,1),""))</f>
        <v/>
      </c>
      <c r="E23" s="4" t="n"/>
    </row>
    <row r="24">
      <c r="A24" s="3" t="n"/>
      <c r="B24" s="4" t="n"/>
      <c r="C24" s="5" t="n"/>
      <c r="D24" s="6">
        <f>IF(OR($B24="",$C24=""),"",IFERROR(ROUND(($C24-VLOOKUP($B24,Марки!$A:$B,2,FALSE))*1000,1),""))</f>
        <v/>
      </c>
      <c r="E24" s="4" t="n"/>
    </row>
    <row r="25">
      <c r="A25" s="3" t="n"/>
      <c r="B25" s="4" t="n"/>
      <c r="C25" s="5" t="n"/>
      <c r="D25" s="6">
        <f>IF(OR($B25="",$C25=""),"",IFERROR(ROUND(($C25-VLOOKUP($B25,Марки!$A:$B,2,FALSE))*1000,1),""))</f>
        <v/>
      </c>
      <c r="E25" s="4" t="n"/>
    </row>
    <row r="26">
      <c r="A26" s="3" t="n"/>
      <c r="B26" s="4" t="n"/>
      <c r="C26" s="5" t="n"/>
      <c r="D26" s="6">
        <f>IF(OR($B26="",$C26=""),"",IFERROR(ROUND(($C26-VLOOKUP($B26,Марки!$A:$B,2,FALSE))*1000,1),""))</f>
        <v/>
      </c>
      <c r="E26" s="4" t="n"/>
    </row>
    <row r="27">
      <c r="A27" s="3" t="n"/>
      <c r="B27" s="4" t="n"/>
      <c r="C27" s="5" t="n"/>
      <c r="D27" s="6">
        <f>IF(OR($B27="",$C27=""),"",IFERROR(ROUND(($C27-VLOOKUP($B27,Марки!$A:$B,2,FALSE))*1000,1),""))</f>
        <v/>
      </c>
      <c r="E27" s="4" t="n"/>
    </row>
    <row r="28">
      <c r="A28" s="3" t="n"/>
      <c r="B28" s="4" t="n"/>
      <c r="C28" s="5" t="n"/>
      <c r="D28" s="6">
        <f>IF(OR($B28="",$C28=""),"",IFERROR(ROUND(($C28-VLOOKUP($B28,Марки!$A:$B,2,FALSE))*1000,1),""))</f>
        <v/>
      </c>
      <c r="E28" s="4" t="n"/>
    </row>
    <row r="29">
      <c r="A29" s="3" t="n"/>
      <c r="B29" s="4" t="n"/>
      <c r="C29" s="5" t="n"/>
      <c r="D29" s="6">
        <f>IF(OR($B29="",$C29=""),"",IFERROR(ROUND(($C29-VLOOKUP($B29,Марки!$A:$B,2,FALSE))*1000,1),""))</f>
        <v/>
      </c>
      <c r="E29" s="4" t="n"/>
    </row>
    <row r="30">
      <c r="A30" s="3" t="n"/>
      <c r="B30" s="4" t="n"/>
      <c r="C30" s="5" t="n"/>
      <c r="D30" s="6">
        <f>IF(OR($B30="",$C30=""),"",IFERROR(ROUND(($C30-VLOOKUP($B30,Марки!$A:$B,2,FALSE))*1000,1),""))</f>
        <v/>
      </c>
      <c r="E30" s="4" t="n"/>
    </row>
    <row r="31">
      <c r="A31" s="3" t="n"/>
      <c r="B31" s="4" t="n"/>
      <c r="C31" s="5" t="n"/>
      <c r="D31" s="6">
        <f>IF(OR($B31="",$C31=""),"",IFERROR(ROUND(($C31-VLOOKUP($B31,Марки!$A:$B,2,FALSE))*1000,1),""))</f>
        <v/>
      </c>
      <c r="E31" s="4" t="n"/>
    </row>
    <row r="32">
      <c r="A32" s="3" t="n"/>
      <c r="B32" s="4" t="n"/>
      <c r="C32" s="5" t="n"/>
      <c r="D32" s="6">
        <f>IF(OR($B32="",$C32=""),"",IFERROR(ROUND(($C32-VLOOKUP($B32,Марки!$A:$B,2,FALSE))*1000,1),""))</f>
        <v/>
      </c>
      <c r="E32" s="4" t="n"/>
    </row>
    <row r="33">
      <c r="A33" s="3" t="n"/>
      <c r="B33" s="4" t="n"/>
      <c r="C33" s="5" t="n"/>
      <c r="D33" s="6">
        <f>IF(OR($B33="",$C33=""),"",IFERROR(ROUND(($C33-VLOOKUP($B33,Марки!$A:$B,2,FALSE))*1000,1),""))</f>
        <v/>
      </c>
      <c r="E33" s="4" t="n"/>
    </row>
    <row r="34">
      <c r="A34" s="3" t="n"/>
      <c r="B34" s="4" t="n"/>
      <c r="C34" s="5" t="n"/>
      <c r="D34" s="6">
        <f>IF(OR($B34="",$C34=""),"",IFERROR(ROUND(($C34-VLOOKUP($B34,Марки!$A:$B,2,FALSE))*1000,1),""))</f>
        <v/>
      </c>
      <c r="E34" s="4" t="n"/>
    </row>
    <row r="35">
      <c r="A35" s="3" t="n"/>
      <c r="B35" s="4" t="n"/>
      <c r="C35" s="5" t="n"/>
      <c r="D35" s="6">
        <f>IF(OR($B35="",$C35=""),"",IFERROR(ROUND(($C35-VLOOKUP($B35,Марки!$A:$B,2,FALSE))*1000,1),""))</f>
        <v/>
      </c>
      <c r="E35" s="4" t="n"/>
    </row>
    <row r="36">
      <c r="A36" s="3" t="n"/>
      <c r="B36" s="4" t="n"/>
      <c r="C36" s="5" t="n"/>
      <c r="D36" s="6">
        <f>IF(OR($B36="",$C36=""),"",IFERROR(ROUND(($C36-VLOOKUP($B36,Марки!$A:$B,2,FALSE))*1000,1),""))</f>
        <v/>
      </c>
      <c r="E36" s="4" t="n"/>
    </row>
    <row r="37">
      <c r="A37" s="3" t="n"/>
      <c r="B37" s="4" t="n"/>
      <c r="C37" s="5" t="n"/>
      <c r="D37" s="6">
        <f>IF(OR($B37="",$C37=""),"",IFERROR(ROUND(($C37-VLOOKUP($B37,Марки!$A:$B,2,FALSE))*1000,1),""))</f>
        <v/>
      </c>
      <c r="E37" s="4" t="n"/>
    </row>
    <row r="38">
      <c r="A38" s="3" t="n"/>
      <c r="B38" s="4" t="n"/>
      <c r="C38" s="5" t="n"/>
      <c r="D38" s="6">
        <f>IF(OR($B38="",$C38=""),"",IFERROR(ROUND(($C38-VLOOKUP($B38,Марки!$A:$B,2,FALSE))*1000,1),""))</f>
        <v/>
      </c>
      <c r="E38" s="4" t="n"/>
    </row>
    <row r="39">
      <c r="A39" s="3" t="n"/>
      <c r="B39" s="4" t="n"/>
      <c r="C39" s="5" t="n"/>
      <c r="D39" s="6">
        <f>IF(OR($B39="",$C39=""),"",IFERROR(ROUND(($C39-VLOOKUP($B39,Марки!$A:$B,2,FALSE))*1000,1),""))</f>
        <v/>
      </c>
      <c r="E39" s="4" t="n"/>
    </row>
    <row r="40">
      <c r="A40" s="3" t="n"/>
      <c r="B40" s="4" t="n"/>
      <c r="C40" s="5" t="n"/>
      <c r="D40" s="6">
        <f>IF(OR($B40="",$C40=""),"",IFERROR(ROUND(($C40-VLOOKUP($B40,Марки!$A:$B,2,FALSE))*1000,1),""))</f>
        <v/>
      </c>
      <c r="E40" s="4" t="n"/>
    </row>
    <row r="41">
      <c r="A41" s="3" t="n"/>
      <c r="B41" s="4" t="n"/>
      <c r="C41" s="5" t="n"/>
      <c r="D41" s="6">
        <f>IF(OR($B41="",$C41=""),"",IFERROR(ROUND(($C41-VLOOKUP($B41,Марки!$A:$B,2,FALSE))*1000,1),""))</f>
        <v/>
      </c>
      <c r="E41" s="4" t="n"/>
    </row>
    <row r="42">
      <c r="A42" s="3" t="n"/>
      <c r="B42" s="4" t="n"/>
      <c r="C42" s="5" t="n"/>
      <c r="D42" s="6">
        <f>IF(OR($B42="",$C42=""),"",IFERROR(ROUND(($C42-VLOOKUP($B42,Марки!$A:$B,2,FALSE))*1000,1),""))</f>
        <v/>
      </c>
      <c r="E42" s="4" t="n"/>
    </row>
    <row r="43">
      <c r="A43" s="3" t="n"/>
      <c r="B43" s="4" t="n"/>
      <c r="C43" s="5" t="n"/>
      <c r="D43" s="6">
        <f>IF(OR($B43="",$C43=""),"",IFERROR(ROUND(($C43-VLOOKUP($B43,Марки!$A:$B,2,FALSE))*1000,1),""))</f>
        <v/>
      </c>
      <c r="E43" s="4" t="n"/>
    </row>
    <row r="44">
      <c r="A44" s="3" t="n"/>
      <c r="B44" s="4" t="n"/>
      <c r="C44" s="5" t="n"/>
      <c r="D44" s="6">
        <f>IF(OR($B44="",$C44=""),"",IFERROR(ROUND(($C44-VLOOKUP($B44,Марки!$A:$B,2,FALSE))*1000,1),""))</f>
        <v/>
      </c>
      <c r="E44" s="4" t="n"/>
    </row>
    <row r="45">
      <c r="A45" s="3" t="n"/>
      <c r="B45" s="4" t="n"/>
      <c r="C45" s="5" t="n"/>
      <c r="D45" s="6">
        <f>IF(OR($B45="",$C45=""),"",IFERROR(ROUND(($C45-VLOOKUP($B45,Марки!$A:$B,2,FALSE))*1000,1),""))</f>
        <v/>
      </c>
      <c r="E45" s="4" t="n"/>
    </row>
    <row r="46">
      <c r="A46" s="3" t="n"/>
      <c r="B46" s="4" t="n"/>
      <c r="C46" s="5" t="n"/>
      <c r="D46" s="6">
        <f>IF(OR($B46="",$C46=""),"",IFERROR(ROUND(($C46-VLOOKUP($B46,Марки!$A:$B,2,FALSE))*1000,1),""))</f>
        <v/>
      </c>
      <c r="E46" s="4" t="n"/>
    </row>
    <row r="47">
      <c r="A47" s="3" t="n"/>
      <c r="B47" s="4" t="n"/>
      <c r="C47" s="5" t="n"/>
      <c r="D47" s="6">
        <f>IF(OR($B47="",$C47=""),"",IFERROR(ROUND(($C47-VLOOKUP($B47,Марки!$A:$B,2,FALSE))*1000,1),""))</f>
        <v/>
      </c>
      <c r="E47" s="4" t="n"/>
    </row>
    <row r="48">
      <c r="A48" s="3" t="n"/>
      <c r="B48" s="4" t="n"/>
      <c r="C48" s="5" t="n"/>
      <c r="D48" s="6">
        <f>IF(OR($B48="",$C48=""),"",IFERROR(ROUND(($C48-VLOOKUP($B48,Марки!$A:$B,2,FALSE))*1000,1),""))</f>
        <v/>
      </c>
      <c r="E48" s="4" t="n"/>
    </row>
    <row r="49">
      <c r="A49" s="3" t="n"/>
      <c r="B49" s="4" t="n"/>
      <c r="C49" s="5" t="n"/>
      <c r="D49" s="6">
        <f>IF(OR($B49="",$C49=""),"",IFERROR(ROUND(($C49-VLOOKUP($B49,Марки!$A:$B,2,FALSE))*1000,1),""))</f>
        <v/>
      </c>
      <c r="E49" s="4" t="n"/>
    </row>
    <row r="50">
      <c r="A50" s="3" t="n"/>
      <c r="B50" s="4" t="n"/>
      <c r="C50" s="5" t="n"/>
      <c r="D50" s="6">
        <f>IF(OR($B50="",$C50=""),"",IFERROR(ROUND(($C50-VLOOKUP($B50,Марки!$A:$B,2,FALSE))*1000,1),""))</f>
        <v/>
      </c>
      <c r="E50" s="4" t="n"/>
    </row>
    <row r="51">
      <c r="A51" s="3" t="n"/>
      <c r="B51" s="4" t="n"/>
      <c r="C51" s="5" t="n"/>
      <c r="D51" s="6">
        <f>IF(OR($B51="",$C51=""),"",IFERROR(ROUND(($C51-VLOOKUP($B51,Марки!$A:$B,2,FALSE))*1000,1),""))</f>
        <v/>
      </c>
      <c r="E51" s="4" t="n"/>
    </row>
    <row r="52">
      <c r="A52" s="3" t="n"/>
      <c r="B52" s="4" t="n"/>
      <c r="C52" s="5" t="n"/>
      <c r="D52" s="6">
        <f>IF(OR($B52="",$C52=""),"",IFERROR(ROUND(($C52-VLOOKUP($B52,Марки!$A:$B,2,FALSE))*1000,1),""))</f>
        <v/>
      </c>
      <c r="E52" s="4" t="n"/>
    </row>
    <row r="53">
      <c r="A53" s="3" t="n"/>
      <c r="B53" s="4" t="n"/>
      <c r="C53" s="5" t="n"/>
      <c r="D53" s="6">
        <f>IF(OR($B53="",$C53=""),"",IFERROR(ROUND(($C53-VLOOKUP($B53,Марки!$A:$B,2,FALSE))*1000,1),""))</f>
        <v/>
      </c>
      <c r="E53" s="4" t="n"/>
    </row>
    <row r="54">
      <c r="A54" s="3" t="n"/>
      <c r="B54" s="4" t="n"/>
      <c r="C54" s="5" t="n"/>
      <c r="D54" s="6">
        <f>IF(OR($B54="",$C54=""),"",IFERROR(ROUND(($C54-VLOOKUP($B54,Марки!$A:$B,2,FALSE))*1000,1),""))</f>
        <v/>
      </c>
      <c r="E54" s="4" t="n"/>
    </row>
    <row r="55">
      <c r="A55" s="3" t="n"/>
      <c r="B55" s="4" t="n"/>
      <c r="C55" s="5" t="n"/>
      <c r="D55" s="6">
        <f>IF(OR($B55="",$C55=""),"",IFERROR(ROUND(($C55-VLOOKUP($B55,Марки!$A:$B,2,FALSE))*1000,1),""))</f>
        <v/>
      </c>
      <c r="E55" s="4" t="n"/>
    </row>
    <row r="56">
      <c r="A56" s="3" t="n"/>
      <c r="B56" s="4" t="n"/>
      <c r="C56" s="5" t="n"/>
      <c r="D56" s="6">
        <f>IF(OR($B56="",$C56=""),"",IFERROR(ROUND(($C56-VLOOKUP($B56,Марки!$A:$B,2,FALSE))*1000,1),""))</f>
        <v/>
      </c>
      <c r="E56" s="4" t="n"/>
    </row>
    <row r="57">
      <c r="A57" s="3" t="n"/>
      <c r="B57" s="4" t="n"/>
      <c r="C57" s="5" t="n"/>
      <c r="D57" s="6">
        <f>IF(OR($B57="",$C57=""),"",IFERROR(ROUND(($C57-VLOOKUP($B57,Марки!$A:$B,2,FALSE))*1000,1),""))</f>
        <v/>
      </c>
      <c r="E57" s="4" t="n"/>
    </row>
    <row r="58">
      <c r="A58" s="3" t="n"/>
      <c r="B58" s="4" t="n"/>
      <c r="C58" s="5" t="n"/>
      <c r="D58" s="6">
        <f>IF(OR($B58="",$C58=""),"",IFERROR(ROUND(($C58-VLOOKUP($B58,Марки!$A:$B,2,FALSE))*1000,1),""))</f>
        <v/>
      </c>
      <c r="E58" s="4" t="n"/>
    </row>
    <row r="59">
      <c r="A59" s="3" t="n"/>
      <c r="B59" s="4" t="n"/>
      <c r="C59" s="5" t="n"/>
      <c r="D59" s="6">
        <f>IF(OR($B59="",$C59=""),"",IFERROR(ROUND(($C59-VLOOKUP($B59,Марки!$A:$B,2,FALSE))*1000,1),""))</f>
        <v/>
      </c>
      <c r="E59" s="4" t="n"/>
    </row>
    <row r="60">
      <c r="A60" s="3" t="n"/>
      <c r="B60" s="4" t="n"/>
      <c r="C60" s="5" t="n"/>
      <c r="D60" s="6">
        <f>IF(OR($B60="",$C60=""),"",IFERROR(ROUND(($C60-VLOOKUP($B60,Марки!$A:$B,2,FALSE))*1000,1),""))</f>
        <v/>
      </c>
      <c r="E60" s="4" t="n"/>
    </row>
    <row r="61">
      <c r="A61" s="3" t="n"/>
      <c r="B61" s="4" t="n"/>
      <c r="C61" s="5" t="n"/>
      <c r="D61" s="6">
        <f>IF(OR($B61="",$C61=""),"",IFERROR(ROUND(($C61-VLOOKUP($B61,Марки!$A:$B,2,FALSE))*1000,1),""))</f>
        <v/>
      </c>
      <c r="E61" s="4" t="n"/>
    </row>
    <row r="62">
      <c r="A62" s="3" t="n"/>
      <c r="B62" s="4" t="n"/>
      <c r="C62" s="5" t="n"/>
      <c r="D62" s="6">
        <f>IF(OR($B62="",$C62=""),"",IFERROR(ROUND(($C62-VLOOKUP($B62,Марки!$A:$B,2,FALSE))*1000,1),""))</f>
        <v/>
      </c>
      <c r="E62" s="4" t="n"/>
    </row>
  </sheetData>
  <dataValidations count="1">
    <dataValidation sqref="B3:B62" showDropDown="0" showInputMessage="0" showErrorMessage="0" allowBlank="1" type="list">
      <formula1>"1,2,3,4,5,6,7,8,9,10,11,12,13,14,15,16,17,18,19,20,21,22,23,24,25,26,27,28,29,30,31,32,33,34,35,36,37,38,39,40,41,42,43,44,45,46,47,48,49,50,51"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2" t="inlineStr">
        <is>
          <t>Марка</t>
        </is>
      </c>
      <c r="B1" s="2" t="inlineStr">
        <is>
          <t>Исходная отметка, м</t>
        </is>
      </c>
    </row>
    <row r="2">
      <c r="A2" s="4" t="n">
        <v>1</v>
      </c>
      <c r="B2" s="5" t="n">
        <v>220.094</v>
      </c>
    </row>
    <row r="3">
      <c r="A3" s="4" t="n">
        <v>2</v>
      </c>
      <c r="B3" s="5" t="n">
        <v>220.065</v>
      </c>
    </row>
    <row r="4">
      <c r="A4" s="4" t="n">
        <v>3</v>
      </c>
      <c r="B4" s="5" t="n">
        <v>220.033</v>
      </c>
    </row>
    <row r="5">
      <c r="A5" s="4" t="n">
        <v>4</v>
      </c>
      <c r="B5" s="5" t="n">
        <v>220.029</v>
      </c>
    </row>
    <row r="6">
      <c r="A6" s="4" t="n">
        <v>5</v>
      </c>
      <c r="B6" s="5" t="n">
        <v>219.991</v>
      </c>
    </row>
    <row r="7">
      <c r="A7" s="4" t="n">
        <v>6</v>
      </c>
      <c r="B7" s="5" t="n">
        <v>219.984</v>
      </c>
    </row>
    <row r="8">
      <c r="A8" s="4" t="n">
        <v>7</v>
      </c>
      <c r="B8" s="5" t="n">
        <v>220.036</v>
      </c>
    </row>
    <row r="9">
      <c r="A9" s="4" t="n">
        <v>8</v>
      </c>
      <c r="B9" s="5" t="n">
        <v>219.98</v>
      </c>
    </row>
    <row r="10">
      <c r="A10" s="4" t="n">
        <v>9</v>
      </c>
      <c r="B10" s="5" t="n">
        <v>220.029</v>
      </c>
    </row>
    <row r="11">
      <c r="A11" s="4" t="n">
        <v>10</v>
      </c>
      <c r="B11" s="5" t="n">
        <v>220.048</v>
      </c>
    </row>
    <row r="12">
      <c r="A12" s="4" t="n">
        <v>11</v>
      </c>
      <c r="B12" s="5" t="n">
        <v>220.097</v>
      </c>
    </row>
    <row r="13">
      <c r="A13" s="4" t="n">
        <v>12</v>
      </c>
      <c r="B13" s="5" t="n">
        <v>220.113</v>
      </c>
    </row>
    <row r="14">
      <c r="A14" s="4" t="n">
        <v>13</v>
      </c>
      <c r="B14" s="5" t="n">
        <v>220.083</v>
      </c>
    </row>
    <row r="15">
      <c r="A15" s="4" t="n">
        <v>14</v>
      </c>
      <c r="B15" s="5" t="n">
        <v>220.087</v>
      </c>
    </row>
    <row r="16">
      <c r="A16" s="4" t="n">
        <v>15</v>
      </c>
      <c r="B16" s="5" t="n">
        <v>220.09</v>
      </c>
    </row>
    <row r="17">
      <c r="A17" s="4" t="n">
        <v>16</v>
      </c>
      <c r="B17" s="5" t="n">
        <v>220.057</v>
      </c>
    </row>
    <row r="18">
      <c r="A18" s="4" t="n">
        <v>17</v>
      </c>
      <c r="B18" s="5" t="n">
        <v>220.088</v>
      </c>
    </row>
    <row r="19">
      <c r="A19" s="4" t="n">
        <v>18</v>
      </c>
      <c r="B19" s="5" t="n">
        <v>220.084</v>
      </c>
    </row>
    <row r="20">
      <c r="A20" s="4" t="n">
        <v>19</v>
      </c>
      <c r="B20" s="5" t="n">
        <v>220.07</v>
      </c>
    </row>
    <row r="21">
      <c r="A21" s="4" t="n">
        <v>20</v>
      </c>
      <c r="B21" s="5" t="n">
        <v>220.058</v>
      </c>
    </row>
    <row r="22">
      <c r="A22" s="4" t="n">
        <v>21</v>
      </c>
      <c r="B22" s="5" t="n">
        <v>220.009</v>
      </c>
    </row>
    <row r="23">
      <c r="A23" s="4" t="n">
        <v>22</v>
      </c>
      <c r="B23" s="5" t="n">
        <v>220.019</v>
      </c>
    </row>
    <row r="24">
      <c r="A24" s="4" t="n">
        <v>23</v>
      </c>
      <c r="B24" s="5" t="n">
        <v>220.039</v>
      </c>
    </row>
    <row r="25">
      <c r="A25" s="4" t="n">
        <v>24</v>
      </c>
      <c r="B25" s="5" t="n">
        <v>220.034</v>
      </c>
    </row>
    <row r="26">
      <c r="A26" s="4" t="n">
        <v>25</v>
      </c>
      <c r="B26" s="5" t="n">
        <v>220.034</v>
      </c>
    </row>
    <row r="27">
      <c r="A27" s="4" t="n">
        <v>26</v>
      </c>
      <c r="B27" s="5" t="n">
        <v>220.063</v>
      </c>
    </row>
    <row r="28">
      <c r="A28" s="4" t="n">
        <v>27</v>
      </c>
      <c r="B28" s="5" t="n">
        <v>220.021</v>
      </c>
    </row>
    <row r="29">
      <c r="A29" s="4" t="n">
        <v>28</v>
      </c>
      <c r="B29" s="5" t="n">
        <v>220.051</v>
      </c>
    </row>
    <row r="30">
      <c r="A30" s="4" t="n">
        <v>29</v>
      </c>
      <c r="B30" s="5" t="n">
        <v>220.048</v>
      </c>
    </row>
    <row r="31">
      <c r="A31" s="4" t="n">
        <v>30</v>
      </c>
      <c r="B31" s="5" t="n">
        <v>220.085</v>
      </c>
    </row>
    <row r="32">
      <c r="A32" s="4" t="n">
        <v>31</v>
      </c>
      <c r="B32" s="5" t="n">
        <v>220.039</v>
      </c>
    </row>
    <row r="33">
      <c r="A33" s="4" t="n">
        <v>32</v>
      </c>
      <c r="B33" s="5" t="n">
        <v>220.079</v>
      </c>
    </row>
    <row r="34">
      <c r="A34" s="4" t="n">
        <v>33</v>
      </c>
      <c r="B34" s="5" t="n">
        <v>220.024</v>
      </c>
    </row>
    <row r="35">
      <c r="A35" s="4" t="n">
        <v>34</v>
      </c>
      <c r="B35" s="5" t="n">
        <v>220.023</v>
      </c>
    </row>
    <row r="36">
      <c r="A36" s="4" t="n">
        <v>35</v>
      </c>
      <c r="B36" s="5" t="n">
        <v>219.978</v>
      </c>
    </row>
    <row r="37">
      <c r="A37" s="4" t="n">
        <v>36</v>
      </c>
      <c r="B37" s="5" t="n">
        <v>219.97</v>
      </c>
    </row>
    <row r="38">
      <c r="A38" s="4" t="n">
        <v>37</v>
      </c>
      <c r="B38" s="5" t="n">
        <v>223.168</v>
      </c>
    </row>
    <row r="39">
      <c r="A39" s="4" t="n">
        <v>38</v>
      </c>
      <c r="B39" s="5" t="n">
        <v>223.024</v>
      </c>
    </row>
    <row r="40">
      <c r="A40" s="4" t="n">
        <v>39</v>
      </c>
      <c r="B40" s="5" t="n">
        <v>223.038</v>
      </c>
    </row>
    <row r="41">
      <c r="A41" s="4" t="n">
        <v>40</v>
      </c>
      <c r="B41" s="5" t="n">
        <v>223.047</v>
      </c>
    </row>
    <row r="42">
      <c r="A42" s="4" t="n">
        <v>41</v>
      </c>
      <c r="B42" s="5" t="n">
        <v>223.139</v>
      </c>
    </row>
    <row r="43">
      <c r="A43" s="4" t="n">
        <v>42</v>
      </c>
      <c r="B43" s="5" t="n">
        <v>223.122</v>
      </c>
    </row>
    <row r="44">
      <c r="A44" s="4" t="n">
        <v>43</v>
      </c>
      <c r="B44" s="5" t="n">
        <v>223.106</v>
      </c>
    </row>
    <row r="45">
      <c r="A45" s="4" t="n">
        <v>44</v>
      </c>
      <c r="B45" s="5" t="n">
        <v>222.96</v>
      </c>
    </row>
    <row r="46">
      <c r="A46" s="4" t="n">
        <v>45</v>
      </c>
      <c r="B46" s="5" t="n">
        <v>223.021</v>
      </c>
    </row>
    <row r="47">
      <c r="A47" s="4" t="n">
        <v>46</v>
      </c>
      <c r="B47" s="5" t="n">
        <v>223.052</v>
      </c>
    </row>
    <row r="48">
      <c r="A48" s="4" t="n">
        <v>47</v>
      </c>
      <c r="B48" s="5" t="n">
        <v>223.068</v>
      </c>
    </row>
    <row r="49">
      <c r="A49" s="4" t="n">
        <v>48</v>
      </c>
      <c r="B49" s="5" t="n">
        <v>223.115</v>
      </c>
    </row>
    <row r="50">
      <c r="A50" s="4" t="n">
        <v>49</v>
      </c>
      <c r="B50" s="5" t="n">
        <v>223.126</v>
      </c>
    </row>
    <row r="51">
      <c r="A51" s="4" t="n">
        <v>50</v>
      </c>
      <c r="B51" s="5" t="n">
        <v>223.259</v>
      </c>
    </row>
    <row r="52">
      <c r="A52" s="4" t="n">
        <v>51</v>
      </c>
      <c r="B52" s="5" t="n">
        <v>223.138</v>
      </c>
    </row>
    <row r="53">
      <c r="A53" s="7" t="inlineStr">
        <is>
          <t>Исходные отметки — по «Общей таблице мониторинга от 18.01.2024»; осадка считается от исходной отметки марки.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Инструкция — журнал деформаций 2101 ККД</t>
        </is>
      </c>
    </row>
    <row r="2">
      <c r="A2" t="inlineStr"/>
    </row>
    <row r="3">
      <c r="A3" t="inlineStr">
        <is>
          <t>1. Строка = один замер одной марки: дата (ДД.ММ.ГГГГ), номер марки (выбор из списка), измеренная отметка, м.</t>
        </is>
      </c>
    </row>
    <row r="4">
      <c r="A4" t="inlineStr">
        <is>
          <t>2. Осадка в графе D вычисляется автоматически: (отметка − исходная) × 1000, мм — лист «Марки».</t>
        </is>
      </c>
    </row>
    <row r="5">
      <c r="A5" t="inlineStr">
        <is>
          <t xml:space="preserve">   Заполняйте в Excel/LibreOffice и сохраняйте файл перед загрузкой, чтобы формулы пересчитались.</t>
        </is>
      </c>
    </row>
    <row r="6">
      <c r="A6" t="inlineStr">
        <is>
          <t>3. Пустые строки можно не удалять. Примечания («марка уничтожена», «нет доступа») — в графу E.</t>
        </is>
      </c>
    </row>
    <row r="7">
      <c r="A7" t="inlineStr">
        <is>
          <t>4. Новые марки: допишите их в лист «Марки» с исходной отметкой — список выбора расширяется автоматически.</t>
        </is>
      </c>
    </row>
    <row r="8">
      <c r="A8" t="inlineStr">
        <is>
          <t>5. Не переименовывайте файл: шифр объекта в имени нужен приложению для автопривязки к карточке.</t>
        </is>
      </c>
    </row>
    <row r="9">
      <c r="A9" t="inlineStr"/>
    </row>
    <row r="10">
      <c r="A10" s="8" t="inlineStr">
        <is>
          <t>Загрузка: уровень «оператор» → «Загрузка данных мониторинга» → «Выбрать журнал деформаций…» → предпросмотр → «Перенести».</t>
        </is>
      </c>
    </row>
    <row r="11">
      <c r="A11" s="7" t="inlineStr">
        <is>
          <t>Формы — по ГОСТ 24846-2019; ряды появятся во вкладке «Деформации» карточки объекта.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2026-09-13T19:52:07Z</dcterms:created>
  <dcterms:modified xmlns:dcterms="http://purl.org/dc/terms/" xmlns:xsi="http://www.w3.org/2001/XMLSchema-instance" xsi:type="dcterms:W3CDTF">2026-09-13T19:52:07Z</dcterms:modified>
</cp:coreProperties>
</file>